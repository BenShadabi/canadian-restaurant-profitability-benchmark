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Benchmark" sheetId="2" state="visible" r:id="rId4"/>
    <sheet name="Industry_Trend" sheetId="3" state="visible" r:id="rId5"/>
    <sheet name="Scenario" sheetId="4" state="visible" r:id="rId6"/>
    <sheet name="Wages" sheetId="5" state="visible" r:id="rId7"/>
    <sheet name="Sourc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<sst xmlns="http://schemas.openxmlformats.org/spreadsheetml/2006/main" count="168" uniqueCount="145">
  <si>
    <t xml:space="preserve">Canadian Restaurant Profitability Benchmark</t>
  </si>
  <si>
    <t xml:space="preserve">Question</t>
  </si>
  <si>
    <t xml:space="preserve">Where does a typical Canadian restaurant make and lose money, and how much would better labour, overhead and waste control change profit?</t>
  </si>
  <si>
    <t xml:space="preserve">Data</t>
  </si>
  <si>
    <t xml:space="preserve">Statistics Canada and ISED (Innovation, Science and Economic Development Canada) published restaurant financials, plus the Statistics Canada annual industry series for 2019 to 2024 and the hourly wage series for accommodation and food services. See the Sources tab.</t>
  </si>
  <si>
    <t xml:space="preserve">Benchmark tab</t>
  </si>
  <si>
    <t xml:space="preserve">The average Canadian restaurant (NAICS 7225, 65,071 businesses, 2024): revenue, each cost line as a share of revenue, profit quartiles, and the industry-wide cost structure from Statistics Canada.</t>
  </si>
  <si>
    <t xml:space="preserve">Scenario tab</t>
  </si>
  <si>
    <t xml:space="preserve">What-if on the average restaurant: apply a labour cut, an overhead cut and a waste cut (blue inputs) and see profit and margin. It also solves how small a cut produces +35% profit.</t>
  </si>
  <si>
    <t xml:space="preserve">Wages tab</t>
  </si>
  <si>
    <t xml:space="preserve">Average hourly wage in food services, 2020 to 2024, with yearly and cumulative growth.</t>
  </si>
  <si>
    <t xml:space="preserve">Industry_Trend tab</t>
  </si>
  <si>
    <t xml:space="preserve">Annual Statistics Canada figures for all food services and drinking places, 2019 to 2024: revenue, margin, cost shares, full-service vs limited-service, with charts.</t>
  </si>
  <si>
    <t xml:space="preserve">Colour code</t>
  </si>
  <si>
    <t xml:space="preserve">Blue text = input you can change. Black = formula. Every number on Benchmark, Wages and Industry_Trend is typed from the cited source; everything else is a formula.</t>
  </si>
  <si>
    <t xml:space="preserve">Limitations</t>
  </si>
  <si>
    <t xml:space="preserve">Averages hide wide differences between restaurants (the bottom quartile loses money). Scenario results are what-ifs on an average restaurant, not forecasts for a specific business. Waste share of food cost is an assumption you can edit.</t>
  </si>
  <si>
    <t xml:space="preserve">The average Canadian restaurant (2024)</t>
  </si>
  <si>
    <t xml:space="preserve">Source: ISED Canadian Industry Statistics, NAICS 7225 (Statistics Canada financial data), 65,071 businesses with revenue $30,000 to $5,000,000.</t>
  </si>
  <si>
    <t xml:space="preserve">Line</t>
  </si>
  <si>
    <t xml:space="preserve">Dollars per restaurant</t>
  </si>
  <si>
    <t xml:space="preserve">% of revenue</t>
  </si>
  <si>
    <t xml:space="preserve">Source</t>
  </si>
  <si>
    <t xml:space="preserve">Revenue</t>
  </si>
  <si>
    <t xml:space="preserve">ISED</t>
  </si>
  <si>
    <t xml:space="preserve">Cost of sales</t>
  </si>
  <si>
    <t xml:space="preserve">Labour and commissions</t>
  </si>
  <si>
    <t xml:space="preserve">Rent</t>
  </si>
  <si>
    <t xml:space="preserve">Utilities and telecom</t>
  </si>
  <si>
    <t xml:space="preserve">Amortization and depletion</t>
  </si>
  <si>
    <t xml:space="preserve">Other expenses (calculated)</t>
  </si>
  <si>
    <t xml:space="preserve">Revenue less all listed costs and profit</t>
  </si>
  <si>
    <t xml:space="preserve">Net profit</t>
  </si>
  <si>
    <t xml:space="preserve">Gross margin</t>
  </si>
  <si>
    <t xml:space="preserve">Revenue less cost of sales (ISED reports 55.2%)</t>
  </si>
  <si>
    <t xml:space="preserve">Profit by quartile (average per restaurant)</t>
  </si>
  <si>
    <t xml:space="preserve">Group</t>
  </si>
  <si>
    <t xml:space="preserve">Profit ($)</t>
  </si>
  <si>
    <t xml:space="preserve">Margin on average revenue</t>
  </si>
  <si>
    <t xml:space="preserve">Note</t>
  </si>
  <si>
    <t xml:space="preserve">Bottom quartile</t>
  </si>
  <si>
    <t xml:space="preserve">Loses money</t>
  </si>
  <si>
    <t xml:space="preserve">Average</t>
  </si>
  <si>
    <t xml:space="preserve">57.7% of restaurants are profitable, 42.3% lose money</t>
  </si>
  <si>
    <t xml:space="preserve">Top quartile</t>
  </si>
  <si>
    <t xml:space="preserve">Industry-wide cost structure, Statistics Canada, 2024 (all food services and drinking places)</t>
  </si>
  <si>
    <t xml:space="preserve">Share of operating expenses or revenue</t>
  </si>
  <si>
    <t xml:space="preserve">2023 comparison</t>
  </si>
  <si>
    <t xml:space="preserve">Operating revenue ($ billion)</t>
  </si>
  <si>
    <t xml:space="preserve">+4.8% vs 2023</t>
  </si>
  <si>
    <t xml:space="preserve">Operating profit margin</t>
  </si>
  <si>
    <t xml:space="preserve">Improved from 3.6%</t>
  </si>
  <si>
    <t xml:space="preserve">Cost of goods sold</t>
  </si>
  <si>
    <t xml:space="preserve">Share of operating expenses</t>
  </si>
  <si>
    <t xml:space="preserve">Salaries, wages, commissions and benefits</t>
  </si>
  <si>
    <t xml:space="preserve">Rental and leasing</t>
  </si>
  <si>
    <t xml:space="preserve">Limited-service revenue ($ billion)</t>
  </si>
  <si>
    <t xml:space="preserve">+7.7%</t>
  </si>
  <si>
    <t xml:space="preserve">Full-service revenue ($ billion)</t>
  </si>
  <si>
    <t xml:space="preserve">+1.4%</t>
  </si>
  <si>
    <t xml:space="preserve">Gap between the two sources: the ISED average restaurant has a 2.5% margin and 44.8% cost of sales, while the industry-wide 2024 figures are 4.1% and 35.9% of expenses (a different base). Compare lines within one source, not across.</t>
  </si>
  <si>
    <t xml:space="preserve">Canadian food services and drinking places, 2019 to 2024</t>
  </si>
  <si>
    <t xml:space="preserve">Source: Statistics Canada, The Daily annual releases (links on Sources). Blue = typed from the release. Blank = not published in the release I read. 2019 and 2022 values come from the later releases that compare to them (2022 was revised in 2024).</t>
  </si>
  <si>
    <t xml:space="preserve">Year</t>
  </si>
  <si>
    <t xml:space="preserve">Operating revenue ($B)</t>
  </si>
  <si>
    <t xml:space="preserve">Operating expenses ($B)</t>
  </si>
  <si>
    <t xml:space="preserve">Full-service revenue ($B)</t>
  </si>
  <si>
    <t xml:space="preserve">Limited-service revenue ($B)</t>
  </si>
  <si>
    <t xml:space="preserve">Full-service margin</t>
  </si>
  <si>
    <t xml:space="preserve">Limited-service margin</t>
  </si>
  <si>
    <t xml:space="preserve">Cost of goods sold (% of expenses)</t>
  </si>
  <si>
    <t xml:space="preserve">Wages and benefits (% of expenses)</t>
  </si>
  <si>
    <t xml:space="preserve">Revenue vs 2019</t>
  </si>
  <si>
    <t xml:space="preserve">2019</t>
  </si>
  <si>
    <t xml:space="preserve">2020</t>
  </si>
  <si>
    <t xml:space="preserve">2021</t>
  </si>
  <si>
    <t xml:space="preserve">2022</t>
  </si>
  <si>
    <t xml:space="preserve">2023</t>
  </si>
  <si>
    <t xml:space="preserve">2024</t>
  </si>
  <si>
    <t xml:space="preserve">Revenue growth year over year</t>
  </si>
  <si>
    <t xml:space="preserve">What the data says</t>
  </si>
  <si>
    <t xml:space="preserve">In 2020 full-service restaurants fell to a 0.3% margin while limited-service (take-out and counter) places earned 5.3%. Limited-service (counter and take-out style) places held up far better than full-service.</t>
  </si>
  <si>
    <t xml:space="preserve">Industry margins stay thin (3% to 4%) in every year, so small cost improvements matter.</t>
  </si>
  <si>
    <t xml:space="preserve">Cost of goods sold is about 35% to 36% and wages about 32% to 34% of expenses every year.</t>
  </si>
  <si>
    <t xml:space="preserve">Workforce (Statistics Canada, 2025): salaries, wages and commissions rose 22.2% from 2019 to 2023; job vacancy rate peaked at 13.4% in Q3 2021, then 10.2% in 2022 and 7.1% in 2023.</t>
  </si>
  <si>
    <t xml:space="preserve">What-if: improving the average restaurant</t>
  </si>
  <si>
    <t xml:space="preserve">Blue cells are inputs. Base figures come from the Benchmark tab.</t>
  </si>
  <si>
    <t xml:space="preserve">Lever</t>
  </si>
  <si>
    <t xml:space="preserve">Input</t>
  </si>
  <si>
    <t xml:space="preserve">Dollar effect on profit</t>
  </si>
  <si>
    <t xml:space="preserve">How it is calculated</t>
  </si>
  <si>
    <t xml:space="preserve">Labour cost reduction</t>
  </si>
  <si>
    <t xml:space="preserve">Labour cost x cut</t>
  </si>
  <si>
    <t xml:space="preserve">Overhead reduction (utilities, telecom and other)</t>
  </si>
  <si>
    <t xml:space="preserve">(Utilities + other expenses) x cut</t>
  </si>
  <si>
    <t xml:space="preserve">Food waste as share of cost of sales (assumption)</t>
  </si>
  <si>
    <t xml:space="preserve">Assumption: edit. Not from the source data.</t>
  </si>
  <si>
    <t xml:space="preserve">Food waste reduction</t>
  </si>
  <si>
    <t xml:space="preserve">Cost of sales x waste share x reduction</t>
  </si>
  <si>
    <t xml:space="preserve">Total profit improvement</t>
  </si>
  <si>
    <t xml:space="preserve">Profit before</t>
  </si>
  <si>
    <t xml:space="preserve">Profit after</t>
  </si>
  <si>
    <t xml:space="preserve">Profit change</t>
  </si>
  <si>
    <t xml:space="preserve">Margin before</t>
  </si>
  <si>
    <t xml:space="preserve">Margin after</t>
  </si>
  <si>
    <t xml:space="preserve">How small a change gives +35% profit?</t>
  </si>
  <si>
    <t xml:space="preserve">Target profit growth</t>
  </si>
  <si>
    <t xml:space="preserve">Extra profit needed</t>
  </si>
  <si>
    <t xml:space="preserve">As % of revenue</t>
  </si>
  <si>
    <t xml:space="preserve">Equivalent labour cut alone</t>
  </si>
  <si>
    <t xml:space="preserve">Equivalent cost-of-sales cut alone</t>
  </si>
  <si>
    <t xml:space="preserve">Equivalent revenue increase alone (at the average profit margin on new sales)</t>
  </si>
  <si>
    <t xml:space="preserve">Takeaway: with margins this thin, small cost improvements move profit a lot, which is why labour scheduling, waste and overhead control matter more than chasing sales.</t>
  </si>
  <si>
    <t xml:space="preserve">Average hourly wage, accommodation and food services</t>
  </si>
  <si>
    <t xml:space="preserve">Source: Statistics Canada Table 14-10-0206-01 (SEPH), as published by ISED Canadian Industry Statistics, NAICS 72.</t>
  </si>
  <si>
    <t xml:space="preserve">Average hourly wage ($)</t>
  </si>
  <si>
    <t xml:space="preserve">Change vs prior year</t>
  </si>
  <si>
    <t xml:space="preserve">Cumulative change since 2020</t>
  </si>
  <si>
    <t xml:space="preserve">Sources</t>
  </si>
  <si>
    <t xml:space="preserve">Used for</t>
  </si>
  <si>
    <t xml:space="preserve">Link</t>
  </si>
  <si>
    <t xml:space="preserve">Average restaurant financials</t>
  </si>
  <si>
    <t xml:space="preserve">ISED, Canadian Industry Statistics, NAICS 7225, financial performance, 2024 (Statistics Canada data)</t>
  </si>
  <si>
    <t xml:space="preserve">https://ised-isde.canada.ca/app/ixb/cis/performance/rev/7225</t>
  </si>
  <si>
    <t xml:space="preserve">Industry-wide margin and cost structure</t>
  </si>
  <si>
    <t xml:space="preserve">Statistics Canada, The Daily, Food services and drinking places, annual, 2024</t>
  </si>
  <si>
    <t xml:space="preserve">https://www150.statcan.gc.ca/n1/daily-quotidien/260309/dq260309a-eng.htm</t>
  </si>
  <si>
    <t xml:space="preserve">Hourly wage series</t>
  </si>
  <si>
    <t xml:space="preserve">ISED, Canadian Industry Statistics, Accommodation and food services (72), salaries and wages (Statistics Canada Table 14-10-0206-01)</t>
  </si>
  <si>
    <t xml:space="preserve">https://ised-isde.canada.ca/app/ixb/cis/salaries-salaires/72</t>
  </si>
  <si>
    <t xml:space="preserve">2019 to 2023 annual figures</t>
  </si>
  <si>
    <t xml:space="preserve">Statistics Canada, The Daily, annual 2020 / 2021 / 2022 (sales surpass pre-pandemic) / 2023 releases</t>
  </si>
  <si>
    <t xml:space="preserve">https://www150.statcan.gc.ca/n1/daily-quotidien/220412/dq220412e-eng.htm</t>
  </si>
  <si>
    <t xml:space="preserve">2021 annual</t>
  </si>
  <si>
    <t xml:space="preserve">Statistics Canada, The Daily, Food services and drinking places, annual, 2021</t>
  </si>
  <si>
    <t xml:space="preserve">https://www150.statcan.gc.ca/n1/daily-quotidien/230216/dq230216c-eng.htm</t>
  </si>
  <si>
    <t xml:space="preserve">2022 annual</t>
  </si>
  <si>
    <t xml:space="preserve">Statistics Canada, Sales at full-service restaurants and limited-service eating places surpass pre-pandemic levels in 2022</t>
  </si>
  <si>
    <t xml:space="preserve">https://www.statcan.gc.ca/o1/en/plus/5832-sales-full-service-restaurants-and-limited-service-eating-places-surpass-pre-pandemic</t>
  </si>
  <si>
    <t xml:space="preserve">2023 annual</t>
  </si>
  <si>
    <t xml:space="preserve">Statistics Canada, The Daily, food services and drinking places, 2023 financial data</t>
  </si>
  <si>
    <t xml:space="preserve">https://www150.statcan.gc.ca/n1/daily-quotidien/250218/dq250218d-eng.htm</t>
  </si>
  <si>
    <t xml:space="preserve">Workforce and job vacancies</t>
  </si>
  <si>
    <t xml:space="preserve">Statistics Canada, Workforce insights: food services and drinking places, 2017 to 2023</t>
  </si>
  <si>
    <t xml:space="preserve">https://www150.statcan.gc.ca/n1/pub/11-621-m/11-621-m2025013-eng.htm</t>
  </si>
</sst>
</file>

<file path=xl/styles.xml><?xml version="1.0" encoding="utf-8"?>
<styleSheet xmlns="http://schemas.openxmlformats.org/spreadsheetml/2006/main">
  <numFmts count="13">
    <numFmt numFmtId="164" formatCode="General"/>
    <numFmt numFmtId="165" formatCode="\$#,##0"/>
    <numFmt numFmtId="166" formatCode="0.0%"/>
    <numFmt numFmtId="167" formatCode="\$#,##0;[RED]&quot;-$&quot;#,##0"/>
    <numFmt numFmtId="168" formatCode="#,##0.0"/>
    <numFmt numFmtId="169" formatCode="0%"/>
    <numFmt numFmtId="170" formatCode="0.0"/>
    <numFmt numFmtId="171" formatCode="\+0.0%;\-0.0%;0.0%"/>
    <numFmt numFmtId="172" formatCode="\+0.0%;\-0.0%"/>
    <numFmt numFmtId="173" formatCode="\+0%"/>
    <numFmt numFmtId="174" formatCode="0.00%"/>
    <numFmt numFmtId="175" formatCode="\$0.00"/>
    <numFmt numFmtId="176" formatCode="\+0.0%"/>
  </numFmts>
  <fonts count="15">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0"/>
      <color rgb="FF1F3864"/>
      <name val="Arial"/>
      <family val="0"/>
      <charset val="1"/>
    </font>
    <font>
      <sz val="10"/>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b val="true"/>
      <sz val="11"/>
      <color rgb="FF1F3864"/>
      <name val="Arial"/>
      <family val="0"/>
      <charset val="1"/>
    </font>
    <font>
      <i val="true"/>
      <sz val="9"/>
      <name val="Arial"/>
      <family val="0"/>
      <charset val="1"/>
    </font>
    <font>
      <b val="true"/>
      <sz val="18"/>
      <color rgb="FF000000"/>
      <name val="Calibri"/>
      <family val="2"/>
    </font>
    <font>
      <sz val="10"/>
      <color rgb="FF000000"/>
      <name val="Calibri"/>
      <family val="2"/>
    </font>
  </fonts>
  <fills count="8">
    <fill>
      <patternFill patternType="none"/>
    </fill>
    <fill>
      <patternFill patternType="gray125"/>
    </fill>
    <fill>
      <patternFill patternType="solid">
        <fgColor rgb="FF1F3864"/>
        <bgColor rgb="FF333333"/>
      </patternFill>
    </fill>
    <fill>
      <patternFill patternType="solid">
        <fgColor rgb="FFF3F7FB"/>
        <bgColor rgb="FFFFFFFF"/>
      </patternFill>
    </fill>
    <fill>
      <patternFill patternType="solid">
        <fgColor rgb="FFFFFFFF"/>
        <bgColor rgb="FFF3F7FB"/>
      </patternFill>
    </fill>
    <fill>
      <patternFill patternType="solid">
        <fgColor rgb="FF1B998B"/>
        <bgColor rgb="FF008080"/>
      </patternFill>
    </fill>
    <fill>
      <patternFill patternType="solid">
        <fgColor rgb="FFE36414"/>
        <bgColor rgb="FFFF8080"/>
      </patternFill>
    </fill>
    <fill>
      <patternFill patternType="solid">
        <fgColor rgb="FF2E75B6"/>
        <bgColor rgb="FF0066CC"/>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fals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center" vertical="bottom"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true" applyProtection="false">
      <alignment horizontal="center" vertical="bottom" textRotation="0" wrapText="tru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75" fontId="10" fillId="0" borderId="0" xfId="0" applyFont="true" applyBorder="false" applyAlignment="false" applyProtection="false">
      <alignment horizontal="general" vertical="bottom" textRotation="0" wrapText="false" indent="0" shrinkToFit="false"/>
      <protection locked="true" hidden="false"/>
    </xf>
    <xf numFmtId="176"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3F7FB"/>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2A900"/>
      <rgbColor rgb="FFE36414"/>
      <rgbColor rgb="FF595959"/>
      <rgbColor rgb="FF969696"/>
      <rgbColor rgb="FF1F3864"/>
      <rgbColor rgb="FF1B998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Share of revenue by line (average restaurant)</a:t>
            </a:r>
          </a:p>
        </c:rich>
      </c:tx>
      <c:overlay val="0"/>
      <c:spPr>
        <a:noFill/>
        <a:ln w="0">
          <a:noFill/>
        </a:ln>
      </c:spPr>
    </c:title>
    <c:autoTitleDeleted val="0"/>
    <c:plotArea>
      <c:barChart>
        <c:barDir val="bar"/>
        <c:grouping val="clustered"/>
        <c:varyColors val="0"/>
        <c:ser>
          <c:idx val="0"/>
          <c:order val="0"/>
          <c:spPr>
            <a:solidFill>
              <a:srgbClr val="1b998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Benchmark!$A$6:$A$12</c:f>
              <c:strCache>
                <c:ptCount val="7"/>
                <c:pt idx="0">
                  <c:v>Cost of sales</c:v>
                </c:pt>
                <c:pt idx="1">
                  <c:v>Labour and commissions</c:v>
                </c:pt>
                <c:pt idx="2">
                  <c:v>Rent</c:v>
                </c:pt>
                <c:pt idx="3">
                  <c:v>Utilities and telecom</c:v>
                </c:pt>
                <c:pt idx="4">
                  <c:v>Amortization and depletion</c:v>
                </c:pt>
                <c:pt idx="5">
                  <c:v>Other expenses (calculated)</c:v>
                </c:pt>
                <c:pt idx="6">
                  <c:v>Net profit</c:v>
                </c:pt>
              </c:strCache>
            </c:strRef>
          </c:cat>
          <c:val>
            <c:numRef>
              <c:f>Benchmark!$C$6:$C$12</c:f>
              <c:numCache>
                <c:formatCode>0.0%</c:formatCode>
                <c:ptCount val="7"/>
                <c:pt idx="0">
                  <c:v>0.447951012717852</c:v>
                </c:pt>
                <c:pt idx="1">
                  <c:v>0.235751295336788</c:v>
                </c:pt>
                <c:pt idx="2">
                  <c:v>0.0843146490814885</c:v>
                </c:pt>
                <c:pt idx="3">
                  <c:v>0.0253179463024023</c:v>
                </c:pt>
                <c:pt idx="4">
                  <c:v>0.0273198304286387</c:v>
                </c:pt>
                <c:pt idx="5">
                  <c:v>0.154027319830429</c:v>
                </c:pt>
                <c:pt idx="6">
                  <c:v>0.0253179463024023</c:v>
                </c:pt>
              </c:numCache>
            </c:numRef>
          </c:val>
        </c:ser>
        <c:gapWidth val="150"/>
        <c:overlap val="0"/>
        <c:axId val="95783808"/>
        <c:axId val="29988478"/>
      </c:barChart>
      <c:catAx>
        <c:axId val="95783808"/>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988478"/>
        <c:crosses val="autoZero"/>
        <c:auto val="1"/>
        <c:lblAlgn val="ctr"/>
        <c:lblOffset val="100"/>
        <c:noMultiLvlLbl val="0"/>
      </c:catAx>
      <c:valAx>
        <c:axId val="2998847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78380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segment ($B)</a:t>
            </a:r>
          </a:p>
        </c:rich>
      </c:tx>
      <c:overlay val="0"/>
      <c:spPr>
        <a:noFill/>
        <a:ln w="0">
          <a:noFill/>
        </a:ln>
      </c:spPr>
    </c:title>
    <c:autoTitleDeleted val="0"/>
    <c:plotArea>
      <c:lineChart>
        <c:grouping val="standard"/>
        <c:varyColors val="0"/>
        <c:ser>
          <c:idx val="0"/>
          <c:order val="0"/>
          <c:tx>
            <c:strRef>
              <c:f>Industry_Trend!E4</c:f>
              <c:strCache>
                <c:ptCount val="1"/>
                <c:pt idx="0">
                  <c:v>Full-service revenue ($B)</c:v>
                </c:pt>
              </c:strCache>
            </c:strRef>
          </c:tx>
          <c:spPr>
            <a:solidFill>
              <a:srgbClr val="e36414"/>
            </a:solidFill>
            <a:ln w="29880">
              <a:solidFill>
                <a:srgbClr val="e3641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Industry_Trend!$A$5:$A$10</c:f>
              <c:strCache>
                <c:ptCount val="6"/>
                <c:pt idx="0">
                  <c:v>2019</c:v>
                </c:pt>
                <c:pt idx="1">
                  <c:v>2020</c:v>
                </c:pt>
                <c:pt idx="2">
                  <c:v>2021</c:v>
                </c:pt>
                <c:pt idx="3">
                  <c:v>2022</c:v>
                </c:pt>
                <c:pt idx="4">
                  <c:v>2023</c:v>
                </c:pt>
                <c:pt idx="5">
                  <c:v>2024</c:v>
                </c:pt>
              </c:strCache>
            </c:strRef>
          </c:cat>
          <c:val>
            <c:numRef>
              <c:f>Industry_Trend!$E$5:$E$10</c:f>
              <c:numCache>
                <c:formatCode>0.0</c:formatCode>
                <c:ptCount val="6"/>
                <c:pt idx="0">
                  <c:v>35.9</c:v>
                </c:pt>
                <c:pt idx="1">
                  <c:v>24.2</c:v>
                </c:pt>
                <c:pt idx="2">
                  <c:v>28.2</c:v>
                </c:pt>
                <c:pt idx="3">
                  <c:v>38.2</c:v>
                </c:pt>
                <c:pt idx="4">
                  <c:v>43.6</c:v>
                </c:pt>
                <c:pt idx="5">
                  <c:v>44.2</c:v>
                </c:pt>
              </c:numCache>
            </c:numRef>
          </c:val>
          <c:smooth val="1"/>
        </c:ser>
        <c:ser>
          <c:idx val="1"/>
          <c:order val="1"/>
          <c:tx>
            <c:strRef>
              <c:f>Industry_Trend!F4</c:f>
              <c:strCache>
                <c:ptCount val="1"/>
                <c:pt idx="0">
                  <c:v>Limited-service revenue ($B)</c:v>
                </c:pt>
              </c:strCache>
            </c:strRef>
          </c:tx>
          <c:spPr>
            <a:solidFill>
              <a:srgbClr val="1b998b"/>
            </a:solidFill>
            <a:ln w="29880">
              <a:solidFill>
                <a:srgbClr val="1b998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Industry_Trend!$A$5:$A$10</c:f>
              <c:strCache>
                <c:ptCount val="6"/>
                <c:pt idx="0">
                  <c:v>2019</c:v>
                </c:pt>
                <c:pt idx="1">
                  <c:v>2020</c:v>
                </c:pt>
                <c:pt idx="2">
                  <c:v>2021</c:v>
                </c:pt>
                <c:pt idx="3">
                  <c:v>2022</c:v>
                </c:pt>
                <c:pt idx="4">
                  <c:v>2023</c:v>
                </c:pt>
                <c:pt idx="5">
                  <c:v>2024</c:v>
                </c:pt>
              </c:strCache>
            </c:strRef>
          </c:cat>
          <c:val>
            <c:numRef>
              <c:f>Industry_Trend!$F$5:$F$10</c:f>
              <c:numCache>
                <c:formatCode>0.0</c:formatCode>
                <c:ptCount val="6"/>
                <c:pt idx="0">
                  <c:v>33.4</c:v>
                </c:pt>
                <c:pt idx="1">
                  <c:v>28.9</c:v>
                </c:pt>
                <c:pt idx="2">
                  <c:v>33.6</c:v>
                </c:pt>
                <c:pt idx="3">
                  <c:v>37.7</c:v>
                </c:pt>
                <c:pt idx="4">
                  <c:v>41.7</c:v>
                </c:pt>
                <c:pt idx="5">
                  <c:v>44.9</c:v>
                </c:pt>
              </c:numCache>
            </c:numRef>
          </c:val>
          <c:smooth val="1"/>
        </c:ser>
        <c:hiLowLines>
          <c:spPr>
            <a:ln w="0">
              <a:noFill/>
            </a:ln>
          </c:spPr>
        </c:hiLowLines>
        <c:marker val="0"/>
        <c:axId val="6695811"/>
        <c:axId val="9872833"/>
      </c:lineChart>
      <c:catAx>
        <c:axId val="669581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72833"/>
        <c:crosses val="autoZero"/>
        <c:auto val="1"/>
        <c:lblAlgn val="ctr"/>
        <c:lblOffset val="100"/>
        <c:noMultiLvlLbl val="0"/>
      </c:catAx>
      <c:valAx>
        <c:axId val="9872833"/>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9581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Operating profit margin</a:t>
            </a:r>
          </a:p>
        </c:rich>
      </c:tx>
      <c:overlay val="0"/>
      <c:spPr>
        <a:noFill/>
        <a:ln w="0">
          <a:noFill/>
        </a:ln>
      </c:spPr>
    </c:title>
    <c:autoTitleDeleted val="0"/>
    <c:plotArea>
      <c:lineChart>
        <c:grouping val="standard"/>
        <c:varyColors val="0"/>
        <c:ser>
          <c:idx val="0"/>
          <c:order val="0"/>
          <c:tx>
            <c:strRef>
              <c:f>Industry_Trend!D4</c:f>
              <c:strCache>
                <c:ptCount val="1"/>
                <c:pt idx="0">
                  <c:v>Operating profit margin</c:v>
                </c:pt>
              </c:strCache>
            </c:strRef>
          </c:tx>
          <c:spPr>
            <a:solidFill>
              <a:srgbClr val="1f3864"/>
            </a:solidFill>
            <a:ln w="29880">
              <a:solidFill>
                <a:srgbClr val="1f386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Industry_Trend!$A$5:$A$10</c:f>
              <c:strCache>
                <c:ptCount val="6"/>
                <c:pt idx="0">
                  <c:v>2019</c:v>
                </c:pt>
                <c:pt idx="1">
                  <c:v>2020</c:v>
                </c:pt>
                <c:pt idx="2">
                  <c:v>2021</c:v>
                </c:pt>
                <c:pt idx="3">
                  <c:v>2022</c:v>
                </c:pt>
                <c:pt idx="4">
                  <c:v>2023</c:v>
                </c:pt>
                <c:pt idx="5">
                  <c:v>2024</c:v>
                </c:pt>
              </c:strCache>
            </c:strRef>
          </c:cat>
          <c:val>
            <c:numRef>
              <c:f>Industry_Trend!$D$5:$D$10</c:f>
              <c:numCache>
                <c:formatCode>0.0%</c:formatCode>
                <c:ptCount val="6"/>
                <c:pt idx="0">
                  <c:v>0.038</c:v>
                </c:pt>
                <c:pt idx="1">
                  <c:v>0.029</c:v>
                </c:pt>
                <c:pt idx="2">
                  <c:v>0.037</c:v>
                </c:pt>
                <c:pt idx="3">
                  <c:v>0.043</c:v>
                </c:pt>
                <c:pt idx="4">
                  <c:v>0.036</c:v>
                </c:pt>
                <c:pt idx="5">
                  <c:v>0.041</c:v>
                </c:pt>
              </c:numCache>
            </c:numRef>
          </c:val>
          <c:smooth val="1"/>
        </c:ser>
        <c:hiLowLines>
          <c:spPr>
            <a:ln w="0">
              <a:noFill/>
            </a:ln>
          </c:spPr>
        </c:hiLowLines>
        <c:marker val="0"/>
        <c:axId val="3211973"/>
        <c:axId val="24113512"/>
      </c:lineChart>
      <c:catAx>
        <c:axId val="321197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113512"/>
        <c:crosses val="autoZero"/>
        <c:auto val="1"/>
        <c:lblAlgn val="ctr"/>
        <c:lblOffset val="100"/>
        <c:noMultiLvlLbl val="0"/>
      </c:catAx>
      <c:valAx>
        <c:axId val="24113512"/>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1197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hourly wage, food services ($)</a:t>
            </a:r>
          </a:p>
        </c:rich>
      </c:tx>
      <c:overlay val="0"/>
      <c:spPr>
        <a:noFill/>
        <a:ln w="0">
          <a:noFill/>
        </a:ln>
      </c:spPr>
    </c:title>
    <c:autoTitleDeleted val="0"/>
    <c:plotArea>
      <c:lineChart>
        <c:grouping val="standard"/>
        <c:varyColors val="0"/>
        <c:ser>
          <c:idx val="0"/>
          <c:order val="0"/>
          <c:tx>
            <c:strRef>
              <c:f>Wages!B4</c:f>
              <c:strCache>
                <c:ptCount val="1"/>
                <c:pt idx="0">
                  <c:v>Average hourly wage ($)</c:v>
                </c:pt>
              </c:strCache>
            </c:strRef>
          </c:tx>
          <c:spPr>
            <a:solidFill>
              <a:srgbClr val="e36414"/>
            </a:solidFill>
            <a:ln w="29880">
              <a:solidFill>
                <a:srgbClr val="e3641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Wages!$A$5:$A$9</c:f>
              <c:strCache>
                <c:ptCount val="5"/>
                <c:pt idx="0">
                  <c:v>2020</c:v>
                </c:pt>
                <c:pt idx="1">
                  <c:v>2021</c:v>
                </c:pt>
                <c:pt idx="2">
                  <c:v>2022</c:v>
                </c:pt>
                <c:pt idx="3">
                  <c:v>2023</c:v>
                </c:pt>
                <c:pt idx="4">
                  <c:v>2024</c:v>
                </c:pt>
              </c:strCache>
            </c:strRef>
          </c:cat>
          <c:val>
            <c:numRef>
              <c:f>Wages!$B$5:$B$9</c:f>
              <c:numCache>
                <c:formatCode>\$0.00</c:formatCode>
                <c:ptCount val="5"/>
                <c:pt idx="0">
                  <c:v>16.78</c:v>
                </c:pt>
                <c:pt idx="1">
                  <c:v>17.1</c:v>
                </c:pt>
                <c:pt idx="2">
                  <c:v>18.03</c:v>
                </c:pt>
                <c:pt idx="3">
                  <c:v>18.62</c:v>
                </c:pt>
                <c:pt idx="4">
                  <c:v>19.48</c:v>
                </c:pt>
              </c:numCache>
            </c:numRef>
          </c:val>
          <c:smooth val="1"/>
        </c:ser>
        <c:hiLowLines>
          <c:spPr>
            <a:ln w="0">
              <a:noFill/>
            </a:ln>
          </c:spPr>
        </c:hiLowLines>
        <c:marker val="0"/>
        <c:axId val="58330636"/>
        <c:axId val="29705176"/>
      </c:lineChart>
      <c:catAx>
        <c:axId val="5833063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705176"/>
        <c:crosses val="autoZero"/>
        <c:auto val="1"/>
        <c:lblAlgn val="ctr"/>
        <c:lblOffset val="100"/>
        <c:noMultiLvlLbl val="0"/>
      </c:catAx>
      <c:valAx>
        <c:axId val="29705176"/>
        <c:scaling>
          <c:orientation val="minMax"/>
          <c:min val="15"/>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33063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16</xdr:col>
      <xdr:colOff>473040</xdr:colOff>
      <xdr:row>20</xdr:row>
      <xdr:rowOff>1080</xdr:rowOff>
    </xdr:to>
    <xdr:graphicFrame>
      <xdr:nvGraphicFramePr>
        <xdr:cNvPr id="0" name="Chart 1"/>
        <xdr:cNvGraphicFramePr/>
      </xdr:nvGraphicFramePr>
      <xdr:xfrm>
        <a:off x="11325240" y="76212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0</xdr:rowOff>
    </xdr:from>
    <xdr:to>
      <xdr:col>5</xdr:col>
      <xdr:colOff>903600</xdr:colOff>
      <xdr:row>40</xdr:row>
      <xdr:rowOff>22320</xdr:rowOff>
    </xdr:to>
    <xdr:graphicFrame>
      <xdr:nvGraphicFramePr>
        <xdr:cNvPr id="1" name="Chart 1"/>
        <xdr:cNvGraphicFramePr/>
      </xdr:nvGraphicFramePr>
      <xdr:xfrm>
        <a:off x="0" y="5315040"/>
        <a:ext cx="61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25</xdr:row>
      <xdr:rowOff>0</xdr:rowOff>
    </xdr:from>
    <xdr:to>
      <xdr:col>11</xdr:col>
      <xdr:colOff>339840</xdr:colOff>
      <xdr:row>40</xdr:row>
      <xdr:rowOff>22320</xdr:rowOff>
    </xdr:to>
    <xdr:graphicFrame>
      <xdr:nvGraphicFramePr>
        <xdr:cNvPr id="2" name="Chart 2"/>
        <xdr:cNvGraphicFramePr/>
      </xdr:nvGraphicFramePr>
      <xdr:xfrm>
        <a:off x="6484680" y="5315040"/>
        <a:ext cx="61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15</xdr:col>
      <xdr:colOff>364680</xdr:colOff>
      <xdr:row>18</xdr:row>
      <xdr:rowOff>22320</xdr:rowOff>
    </xdr:to>
    <xdr:graphicFrame>
      <xdr:nvGraphicFramePr>
        <xdr:cNvPr id="3" name="Chart 1"/>
        <xdr:cNvGraphicFramePr/>
      </xdr:nvGraphicFramePr>
      <xdr:xfrm>
        <a:off x="9915480" y="76212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A900"/>
    <pageSetUpPr fitToPage="false"/>
  </sheetPr>
  <dimension ref="A1:B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8"/>
  </cols>
  <sheetData>
    <row r="1" customFormat="false" ht="30" hidden="false" customHeight="true" outlineLevel="0" collapsed="false">
      <c r="A1" s="1" t="s">
        <v>0</v>
      </c>
      <c r="B1" s="1"/>
    </row>
    <row r="3" customFormat="false" ht="36" hidden="false" customHeight="true" outlineLevel="0" collapsed="false">
      <c r="A3" s="2" t="s">
        <v>1</v>
      </c>
      <c r="B3" s="3" t="s">
        <v>2</v>
      </c>
    </row>
    <row r="4" customFormat="false" ht="51" hidden="false" customHeight="true" outlineLevel="0" collapsed="false">
      <c r="A4" s="4" t="s">
        <v>3</v>
      </c>
      <c r="B4" s="5" t="s">
        <v>4</v>
      </c>
    </row>
    <row r="5" customFormat="false" ht="36" hidden="false" customHeight="true" outlineLevel="0" collapsed="false">
      <c r="A5" s="2" t="s">
        <v>5</v>
      </c>
      <c r="B5" s="3" t="s">
        <v>6</v>
      </c>
    </row>
    <row r="6" customFormat="false" ht="36" hidden="false" customHeight="true" outlineLevel="0" collapsed="false">
      <c r="A6" s="4" t="s">
        <v>7</v>
      </c>
      <c r="B6" s="5" t="s">
        <v>8</v>
      </c>
    </row>
    <row r="7" customFormat="false" ht="21" hidden="false" customHeight="true" outlineLevel="0" collapsed="false">
      <c r="A7" s="2" t="s">
        <v>9</v>
      </c>
      <c r="B7" s="3" t="s">
        <v>10</v>
      </c>
    </row>
    <row r="8" customFormat="false" ht="36" hidden="false" customHeight="true" outlineLevel="0" collapsed="false">
      <c r="A8" s="4" t="s">
        <v>11</v>
      </c>
      <c r="B8" s="5" t="s">
        <v>12</v>
      </c>
    </row>
    <row r="9" customFormat="false" ht="36" hidden="false" customHeight="true" outlineLevel="0" collapsed="false">
      <c r="A9" s="2" t="s">
        <v>13</v>
      </c>
      <c r="B9" s="3" t="s">
        <v>14</v>
      </c>
    </row>
    <row r="10" customFormat="false" ht="36" hidden="false" customHeight="true" outlineLevel="0" collapsed="false">
      <c r="A10" s="4" t="s">
        <v>15</v>
      </c>
      <c r="B10" s="5" t="s">
        <v>16</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998B"/>
    <pageSetUpPr fitToPage="false"/>
  </sheetPr>
  <dimension ref="A1:E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3" min="3" style="0" width="26"/>
    <col collapsed="false" customWidth="true" hidden="false" outlineLevel="0" max="4" min="4" style="0" width="60"/>
  </cols>
  <sheetData>
    <row r="1" customFormat="false" ht="30" hidden="false" customHeight="true" outlineLevel="0" collapsed="false">
      <c r="A1" s="1" t="s">
        <v>17</v>
      </c>
      <c r="B1" s="1"/>
      <c r="C1" s="1"/>
      <c r="D1" s="1"/>
      <c r="E1" s="1"/>
    </row>
    <row r="2" customFormat="false" ht="15" hidden="false" customHeight="false" outlineLevel="0" collapsed="false">
      <c r="A2" s="6" t="s">
        <v>18</v>
      </c>
    </row>
    <row r="4" customFormat="false" ht="15" hidden="false" customHeight="false" outlineLevel="0" collapsed="false">
      <c r="A4" s="7" t="s">
        <v>19</v>
      </c>
      <c r="B4" s="7" t="s">
        <v>20</v>
      </c>
      <c r="C4" s="7" t="s">
        <v>21</v>
      </c>
      <c r="D4" s="7" t="s">
        <v>22</v>
      </c>
    </row>
    <row r="5" customFormat="false" ht="15" hidden="false" customHeight="false" outlineLevel="0" collapsed="false">
      <c r="A5" s="8" t="s">
        <v>23</v>
      </c>
      <c r="B5" s="9" t="n">
        <v>849200</v>
      </c>
      <c r="C5" s="10" t="n">
        <f aca="false">B5/$B$5</f>
        <v>1</v>
      </c>
      <c r="D5" s="11" t="s">
        <v>24</v>
      </c>
    </row>
    <row r="6" customFormat="false" ht="15" hidden="false" customHeight="false" outlineLevel="0" collapsed="false">
      <c r="A6" s="11" t="s">
        <v>25</v>
      </c>
      <c r="B6" s="9" t="n">
        <v>380400</v>
      </c>
      <c r="C6" s="10" t="n">
        <f aca="false">B6/$B$5</f>
        <v>0.447951012717852</v>
      </c>
      <c r="D6" s="11" t="s">
        <v>24</v>
      </c>
    </row>
    <row r="7" customFormat="false" ht="15" hidden="false" customHeight="false" outlineLevel="0" collapsed="false">
      <c r="A7" s="11" t="s">
        <v>26</v>
      </c>
      <c r="B7" s="9" t="n">
        <v>200200</v>
      </c>
      <c r="C7" s="10" t="n">
        <f aca="false">B7/$B$5</f>
        <v>0.235751295336788</v>
      </c>
      <c r="D7" s="11" t="s">
        <v>24</v>
      </c>
    </row>
    <row r="8" customFormat="false" ht="15" hidden="false" customHeight="false" outlineLevel="0" collapsed="false">
      <c r="A8" s="11" t="s">
        <v>27</v>
      </c>
      <c r="B8" s="9" t="n">
        <v>71600</v>
      </c>
      <c r="C8" s="10" t="n">
        <f aca="false">B8/$B$5</f>
        <v>0.0843146490814885</v>
      </c>
      <c r="D8" s="11" t="s">
        <v>24</v>
      </c>
    </row>
    <row r="9" customFormat="false" ht="15" hidden="false" customHeight="false" outlineLevel="0" collapsed="false">
      <c r="A9" s="11" t="s">
        <v>28</v>
      </c>
      <c r="B9" s="9" t="n">
        <v>21500</v>
      </c>
      <c r="C9" s="10" t="n">
        <f aca="false">B9/$B$5</f>
        <v>0.0253179463024023</v>
      </c>
      <c r="D9" s="11" t="s">
        <v>24</v>
      </c>
    </row>
    <row r="10" customFormat="false" ht="15" hidden="false" customHeight="false" outlineLevel="0" collapsed="false">
      <c r="A10" s="11" t="s">
        <v>29</v>
      </c>
      <c r="B10" s="9" t="n">
        <v>23200</v>
      </c>
      <c r="C10" s="10" t="n">
        <f aca="false">B10/$B$5</f>
        <v>0.0273198304286387</v>
      </c>
      <c r="D10" s="11" t="s">
        <v>24</v>
      </c>
    </row>
    <row r="11" customFormat="false" ht="15" hidden="false" customHeight="false" outlineLevel="0" collapsed="false">
      <c r="A11" s="11" t="s">
        <v>30</v>
      </c>
      <c r="B11" s="12" t="n">
        <f aca="false">B5-B6-B7-B8-B9-B10-B12</f>
        <v>130800</v>
      </c>
      <c r="C11" s="10" t="n">
        <f aca="false">B11/$B$5</f>
        <v>0.154027319830429</v>
      </c>
      <c r="D11" s="11" t="s">
        <v>31</v>
      </c>
    </row>
    <row r="12" customFormat="false" ht="15" hidden="false" customHeight="false" outlineLevel="0" collapsed="false">
      <c r="A12" s="8" t="s">
        <v>32</v>
      </c>
      <c r="B12" s="9" t="n">
        <v>21500</v>
      </c>
      <c r="C12" s="10" t="n">
        <f aca="false">B12/$B$5</f>
        <v>0.0253179463024023</v>
      </c>
      <c r="D12" s="11" t="s">
        <v>24</v>
      </c>
    </row>
    <row r="13" customFormat="false" ht="15" hidden="false" customHeight="false" outlineLevel="0" collapsed="false">
      <c r="A13" s="8" t="s">
        <v>33</v>
      </c>
      <c r="B13" s="12" t="n">
        <f aca="false">B5-B6</f>
        <v>468800</v>
      </c>
      <c r="C13" s="10" t="n">
        <f aca="false">B13/$B$5</f>
        <v>0.552048987282148</v>
      </c>
      <c r="D13" s="11" t="s">
        <v>34</v>
      </c>
    </row>
    <row r="15" customFormat="false" ht="15" hidden="false" customHeight="false" outlineLevel="0" collapsed="false">
      <c r="A15" s="13" t="s">
        <v>35</v>
      </c>
    </row>
    <row r="16" customFormat="false" ht="15" hidden="false" customHeight="false" outlineLevel="0" collapsed="false">
      <c r="A16" s="14" t="s">
        <v>36</v>
      </c>
      <c r="B16" s="14" t="s">
        <v>37</v>
      </c>
      <c r="C16" s="14" t="s">
        <v>38</v>
      </c>
      <c r="D16" s="14" t="s">
        <v>39</v>
      </c>
    </row>
    <row r="17" customFormat="false" ht="15" hidden="false" customHeight="false" outlineLevel="0" collapsed="false">
      <c r="A17" s="15" t="s">
        <v>40</v>
      </c>
      <c r="B17" s="16" t="n">
        <v>-13000</v>
      </c>
      <c r="C17" s="17" t="n">
        <f aca="false">B17/$B$5</f>
        <v>-0.01530852567122</v>
      </c>
      <c r="D17" s="15" t="s">
        <v>41</v>
      </c>
    </row>
    <row r="18" customFormat="false" ht="15" hidden="false" customHeight="false" outlineLevel="0" collapsed="false">
      <c r="A18" s="15" t="s">
        <v>42</v>
      </c>
      <c r="B18" s="18" t="n">
        <f aca="false">B12</f>
        <v>21500</v>
      </c>
      <c r="C18" s="17" t="n">
        <f aca="false">B18/$B$5</f>
        <v>0.0253179463024023</v>
      </c>
      <c r="D18" s="15" t="s">
        <v>43</v>
      </c>
    </row>
    <row r="19" customFormat="false" ht="15" hidden="false" customHeight="false" outlineLevel="0" collapsed="false">
      <c r="A19" s="15" t="s">
        <v>44</v>
      </c>
      <c r="B19" s="16" t="n">
        <v>90600</v>
      </c>
      <c r="C19" s="17" t="n">
        <f aca="false">B19/$B$5</f>
        <v>0.106688648139425</v>
      </c>
      <c r="D19" s="15"/>
    </row>
    <row r="21" customFormat="false" ht="15" hidden="false" customHeight="false" outlineLevel="0" collapsed="false">
      <c r="A21" s="13" t="s">
        <v>45</v>
      </c>
    </row>
    <row r="22" customFormat="false" ht="23.85" hidden="false" customHeight="false" outlineLevel="0" collapsed="false">
      <c r="A22" s="19" t="s">
        <v>19</v>
      </c>
      <c r="B22" s="19" t="s">
        <v>46</v>
      </c>
      <c r="C22" s="19" t="s">
        <v>47</v>
      </c>
      <c r="D22" s="19" t="s">
        <v>39</v>
      </c>
    </row>
    <row r="23" customFormat="false" ht="15" hidden="false" customHeight="false" outlineLevel="0" collapsed="false">
      <c r="A23" s="15" t="s">
        <v>48</v>
      </c>
      <c r="B23" s="20" t="n">
        <v>99.6</v>
      </c>
      <c r="D23" s="15" t="s">
        <v>49</v>
      </c>
    </row>
    <row r="24" customFormat="false" ht="15" hidden="false" customHeight="false" outlineLevel="0" collapsed="false">
      <c r="A24" s="15" t="s">
        <v>50</v>
      </c>
      <c r="B24" s="21" t="n">
        <v>0.041</v>
      </c>
      <c r="C24" s="21" t="n">
        <v>0.036</v>
      </c>
      <c r="D24" s="15" t="s">
        <v>51</v>
      </c>
    </row>
    <row r="25" customFormat="false" ht="15" hidden="false" customHeight="false" outlineLevel="0" collapsed="false">
      <c r="A25" s="15" t="s">
        <v>52</v>
      </c>
      <c r="B25" s="21" t="n">
        <v>0.359</v>
      </c>
      <c r="D25" s="15" t="s">
        <v>53</v>
      </c>
    </row>
    <row r="26" customFormat="false" ht="15" hidden="false" customHeight="false" outlineLevel="0" collapsed="false">
      <c r="A26" s="15" t="s">
        <v>54</v>
      </c>
      <c r="B26" s="21" t="n">
        <v>0.336</v>
      </c>
      <c r="D26" s="15" t="s">
        <v>53</v>
      </c>
    </row>
    <row r="27" customFormat="false" ht="15" hidden="false" customHeight="false" outlineLevel="0" collapsed="false">
      <c r="A27" s="15" t="s">
        <v>55</v>
      </c>
      <c r="B27" s="21" t="n">
        <v>0.081</v>
      </c>
      <c r="D27" s="15" t="s">
        <v>53</v>
      </c>
    </row>
    <row r="28" customFormat="false" ht="15" hidden="false" customHeight="false" outlineLevel="0" collapsed="false">
      <c r="A28" s="15" t="s">
        <v>56</v>
      </c>
      <c r="B28" s="20" t="n">
        <v>44.9</v>
      </c>
      <c r="D28" s="15" t="s">
        <v>57</v>
      </c>
    </row>
    <row r="29" customFormat="false" ht="15" hidden="false" customHeight="false" outlineLevel="0" collapsed="false">
      <c r="A29" s="15" t="s">
        <v>58</v>
      </c>
      <c r="B29" s="20" t="n">
        <v>44.2</v>
      </c>
      <c r="D29" s="15" t="s">
        <v>59</v>
      </c>
    </row>
    <row r="31" customFormat="false" ht="15" hidden="false" customHeight="false" outlineLevel="0" collapsed="false">
      <c r="A31" s="22" t="s">
        <v>60</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K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5" min="2" style="0" width="16"/>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18"/>
    <col collapsed="false" customWidth="true" hidden="false" outlineLevel="0" max="10" min="10" style="0" width="20"/>
    <col collapsed="false" customWidth="true" hidden="false" outlineLevel="0" max="11" min="11" style="0" width="14"/>
  </cols>
  <sheetData>
    <row r="1" customFormat="false" ht="30" hidden="false" customHeight="true" outlineLevel="0" collapsed="false">
      <c r="A1" s="1" t="s">
        <v>61</v>
      </c>
      <c r="B1" s="1"/>
      <c r="C1" s="1"/>
      <c r="D1" s="1"/>
      <c r="E1" s="1"/>
      <c r="F1" s="1"/>
      <c r="G1" s="1"/>
      <c r="H1" s="1"/>
      <c r="I1" s="1"/>
      <c r="J1" s="1"/>
      <c r="K1" s="1"/>
    </row>
    <row r="2" customFormat="false" ht="15" hidden="false" customHeight="false" outlineLevel="0" collapsed="false">
      <c r="A2" s="6" t="s">
        <v>62</v>
      </c>
    </row>
    <row r="4" customFormat="false" ht="43.5" hidden="false" customHeight="true" outlineLevel="0" collapsed="false">
      <c r="A4" s="19" t="s">
        <v>63</v>
      </c>
      <c r="B4" s="19" t="s">
        <v>64</v>
      </c>
      <c r="C4" s="19" t="s">
        <v>65</v>
      </c>
      <c r="D4" s="19" t="s">
        <v>50</v>
      </c>
      <c r="E4" s="19" t="s">
        <v>66</v>
      </c>
      <c r="F4" s="19" t="s">
        <v>67</v>
      </c>
      <c r="G4" s="19" t="s">
        <v>68</v>
      </c>
      <c r="H4" s="19" t="s">
        <v>69</v>
      </c>
      <c r="I4" s="19" t="s">
        <v>70</v>
      </c>
      <c r="J4" s="19" t="s">
        <v>71</v>
      </c>
      <c r="K4" s="19" t="s">
        <v>72</v>
      </c>
    </row>
    <row r="5" customFormat="false" ht="15" hidden="false" customHeight="false" outlineLevel="0" collapsed="false">
      <c r="A5" s="15" t="s">
        <v>73</v>
      </c>
      <c r="B5" s="23" t="n">
        <v>78.4</v>
      </c>
      <c r="C5" s="23" t="n">
        <v>75.3</v>
      </c>
      <c r="D5" s="21" t="n">
        <v>0.038</v>
      </c>
      <c r="E5" s="23" t="n">
        <v>35.9</v>
      </c>
      <c r="F5" s="23" t="n">
        <v>33.4</v>
      </c>
      <c r="G5" s="21" t="n">
        <v>0.03</v>
      </c>
      <c r="H5" s="21" t="n">
        <v>0.039</v>
      </c>
      <c r="I5" s="21" t="n">
        <v>0.359</v>
      </c>
      <c r="J5" s="21" t="n">
        <v>0.332</v>
      </c>
      <c r="K5" s="24" t="n">
        <f aca="false">B5/$B$5-1</f>
        <v>0</v>
      </c>
    </row>
    <row r="6" customFormat="false" ht="15" hidden="false" customHeight="false" outlineLevel="0" collapsed="false">
      <c r="A6" s="15" t="s">
        <v>74</v>
      </c>
      <c r="B6" s="23" t="n">
        <v>58.4</v>
      </c>
      <c r="C6" s="23" t="n">
        <v>56.7</v>
      </c>
      <c r="D6" s="21" t="n">
        <v>0.029</v>
      </c>
      <c r="E6" s="23" t="n">
        <v>24.2</v>
      </c>
      <c r="F6" s="23" t="n">
        <v>28.9</v>
      </c>
      <c r="G6" s="21" t="n">
        <v>0.003</v>
      </c>
      <c r="H6" s="21" t="n">
        <v>0.053</v>
      </c>
      <c r="I6" s="21" t="n">
        <v>0.348</v>
      </c>
      <c r="J6" s="21" t="n">
        <v>0.323</v>
      </c>
      <c r="K6" s="24" t="n">
        <f aca="false">B6/$B$5-1</f>
        <v>-0.255102040816327</v>
      </c>
    </row>
    <row r="7" customFormat="false" ht="15" hidden="false" customHeight="false" outlineLevel="0" collapsed="false">
      <c r="A7" s="15" t="s">
        <v>75</v>
      </c>
      <c r="B7" s="23" t="n">
        <v>67.5</v>
      </c>
      <c r="C7" s="23" t="n">
        <v>65</v>
      </c>
      <c r="D7" s="21" t="n">
        <v>0.037</v>
      </c>
      <c r="E7" s="23" t="n">
        <v>28.2</v>
      </c>
      <c r="F7" s="23" t="n">
        <v>33.6</v>
      </c>
      <c r="G7" s="21" t="n">
        <v>0.005</v>
      </c>
      <c r="H7" s="21" t="n">
        <v>0.069</v>
      </c>
      <c r="I7" s="21" t="n">
        <v>0.353</v>
      </c>
      <c r="J7" s="21" t="n">
        <v>0.32</v>
      </c>
      <c r="K7" s="24" t="n">
        <f aca="false">B7/$B$5-1</f>
        <v>-0.139030612244898</v>
      </c>
    </row>
    <row r="8" customFormat="false" ht="15" hidden="false" customHeight="false" outlineLevel="0" collapsed="false">
      <c r="A8" s="15" t="s">
        <v>76</v>
      </c>
      <c r="B8" s="23" t="n">
        <v>84.2</v>
      </c>
      <c r="C8" s="23" t="n">
        <v>80.7</v>
      </c>
      <c r="D8" s="21" t="n">
        <v>0.043</v>
      </c>
      <c r="E8" s="23" t="n">
        <v>38.2</v>
      </c>
      <c r="F8" s="23" t="n">
        <v>37.7</v>
      </c>
      <c r="G8" s="21" t="n">
        <v>0.043</v>
      </c>
      <c r="H8" s="21" t="n">
        <v>0.04</v>
      </c>
      <c r="I8" s="21"/>
      <c r="J8" s="21"/>
      <c r="K8" s="24" t="n">
        <f aca="false">B8/$B$5-1</f>
        <v>0.0739795918367348</v>
      </c>
    </row>
    <row r="9" customFormat="false" ht="15" hidden="false" customHeight="false" outlineLevel="0" collapsed="false">
      <c r="A9" s="15" t="s">
        <v>77</v>
      </c>
      <c r="B9" s="23" t="n">
        <v>95</v>
      </c>
      <c r="C9" s="23" t="n">
        <v>91.6</v>
      </c>
      <c r="D9" s="21" t="n">
        <v>0.036</v>
      </c>
      <c r="E9" s="23" t="n">
        <v>43.6</v>
      </c>
      <c r="F9" s="23" t="n">
        <v>41.7</v>
      </c>
      <c r="G9" s="21"/>
      <c r="H9" s="21"/>
      <c r="I9" s="21" t="n">
        <v>0.357</v>
      </c>
      <c r="J9" s="21" t="n">
        <v>0.334</v>
      </c>
      <c r="K9" s="24" t="n">
        <f aca="false">B9/$B$5-1</f>
        <v>0.211734693877551</v>
      </c>
    </row>
    <row r="10" customFormat="false" ht="15" hidden="false" customHeight="false" outlineLevel="0" collapsed="false">
      <c r="A10" s="15" t="s">
        <v>78</v>
      </c>
      <c r="B10" s="23" t="n">
        <v>99.6</v>
      </c>
      <c r="C10" s="23" t="n">
        <v>95.5</v>
      </c>
      <c r="D10" s="21" t="n">
        <v>0.041</v>
      </c>
      <c r="E10" s="23" t="n">
        <v>44.2</v>
      </c>
      <c r="F10" s="23" t="n">
        <v>44.9</v>
      </c>
      <c r="G10" s="21"/>
      <c r="H10" s="21"/>
      <c r="I10" s="21" t="n">
        <v>0.359</v>
      </c>
      <c r="J10" s="21" t="n">
        <v>0.336</v>
      </c>
      <c r="K10" s="24" t="n">
        <f aca="false">B10/$B$5-1</f>
        <v>0.270408163265306</v>
      </c>
    </row>
    <row r="12" customFormat="false" ht="15" hidden="false" customHeight="false" outlineLevel="0" collapsed="false">
      <c r="A12" s="25" t="s">
        <v>79</v>
      </c>
    </row>
    <row r="13" customFormat="false" ht="15" hidden="false" customHeight="false" outlineLevel="0" collapsed="false">
      <c r="A13" s="15" t="s">
        <v>74</v>
      </c>
      <c r="B13" s="26" t="n">
        <f aca="false">B6/B5-1</f>
        <v>-0.255102040816327</v>
      </c>
    </row>
    <row r="14" customFormat="false" ht="15" hidden="false" customHeight="false" outlineLevel="0" collapsed="false">
      <c r="A14" s="15" t="s">
        <v>75</v>
      </c>
      <c r="B14" s="26" t="n">
        <f aca="false">B7/B6-1</f>
        <v>0.155821917808219</v>
      </c>
    </row>
    <row r="15" customFormat="false" ht="15" hidden="false" customHeight="false" outlineLevel="0" collapsed="false">
      <c r="A15" s="15" t="s">
        <v>76</v>
      </c>
      <c r="B15" s="26" t="n">
        <f aca="false">B8/B7-1</f>
        <v>0.247407407407408</v>
      </c>
    </row>
    <row r="16" customFormat="false" ht="15" hidden="false" customHeight="false" outlineLevel="0" collapsed="false">
      <c r="A16" s="15" t="s">
        <v>77</v>
      </c>
      <c r="B16" s="26" t="n">
        <f aca="false">B9/B8-1</f>
        <v>0.128266033254157</v>
      </c>
    </row>
    <row r="17" customFormat="false" ht="15" hidden="false" customHeight="false" outlineLevel="0" collapsed="false">
      <c r="A17" s="15" t="s">
        <v>78</v>
      </c>
      <c r="B17" s="26" t="n">
        <f aca="false">B10/B9-1</f>
        <v>0.0484210526315789</v>
      </c>
    </row>
    <row r="19" customFormat="false" ht="15" hidden="false" customHeight="false" outlineLevel="0" collapsed="false">
      <c r="A19" s="13" t="s">
        <v>80</v>
      </c>
    </row>
    <row r="20" customFormat="false" ht="15" hidden="false" customHeight="false" outlineLevel="0" collapsed="false">
      <c r="A20" s="15" t="s">
        <v>81</v>
      </c>
    </row>
    <row r="21" customFormat="false" ht="15" hidden="false" customHeight="false" outlineLevel="0" collapsed="false">
      <c r="A21" s="15" t="s">
        <v>82</v>
      </c>
    </row>
    <row r="22" customFormat="false" ht="15" hidden="false" customHeight="false" outlineLevel="0" collapsed="false">
      <c r="A22" s="15" t="s">
        <v>83</v>
      </c>
    </row>
    <row r="23" customFormat="false" ht="15" hidden="false" customHeight="false" outlineLevel="0" collapsed="false">
      <c r="A23" s="15" t="s">
        <v>84</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36414"/>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 collapsed="false" customWidth="true" hidden="false" outlineLevel="0" max="3" min="3" style="0" width="24"/>
    <col collapsed="false" customWidth="true" hidden="false" outlineLevel="0" max="4" min="4" style="0" width="50"/>
  </cols>
  <sheetData>
    <row r="1" customFormat="false" ht="30" hidden="false" customHeight="true" outlineLevel="0" collapsed="false">
      <c r="A1" s="1" t="s">
        <v>85</v>
      </c>
      <c r="B1" s="1"/>
      <c r="C1" s="1"/>
      <c r="D1" s="1"/>
    </row>
    <row r="2" customFormat="false" ht="15" hidden="false" customHeight="false" outlineLevel="0" collapsed="false">
      <c r="A2" s="6" t="s">
        <v>86</v>
      </c>
    </row>
    <row r="4" customFormat="false" ht="15" hidden="false" customHeight="false" outlineLevel="0" collapsed="false">
      <c r="A4" s="7" t="s">
        <v>87</v>
      </c>
      <c r="B4" s="7" t="s">
        <v>88</v>
      </c>
      <c r="C4" s="7" t="s">
        <v>89</v>
      </c>
      <c r="D4" s="7" t="s">
        <v>90</v>
      </c>
    </row>
    <row r="5" customFormat="false" ht="15" hidden="false" customHeight="false" outlineLevel="0" collapsed="false">
      <c r="A5" s="15" t="s">
        <v>91</v>
      </c>
      <c r="B5" s="21" t="n">
        <v>0.1</v>
      </c>
      <c r="C5" s="27" t="n">
        <f aca="false">Benchmark!B7*B5</f>
        <v>20020</v>
      </c>
      <c r="D5" s="15" t="s">
        <v>92</v>
      </c>
    </row>
    <row r="6" customFormat="false" ht="15" hidden="false" customHeight="false" outlineLevel="0" collapsed="false">
      <c r="A6" s="15" t="s">
        <v>93</v>
      </c>
      <c r="B6" s="21" t="n">
        <v>0.15</v>
      </c>
      <c r="C6" s="27" t="n">
        <f aca="false">(Benchmark!B9+Benchmark!B11)*B6</f>
        <v>22845</v>
      </c>
      <c r="D6" s="15" t="s">
        <v>94</v>
      </c>
    </row>
    <row r="7" customFormat="false" ht="15" hidden="false" customHeight="false" outlineLevel="0" collapsed="false">
      <c r="A7" s="15" t="s">
        <v>95</v>
      </c>
      <c r="B7" s="21" t="n">
        <v>0.05</v>
      </c>
      <c r="D7" s="15" t="s">
        <v>96</v>
      </c>
    </row>
    <row r="8" customFormat="false" ht="15" hidden="false" customHeight="false" outlineLevel="0" collapsed="false">
      <c r="A8" s="15" t="s">
        <v>97</v>
      </c>
      <c r="B8" s="21" t="n">
        <v>0.2</v>
      </c>
      <c r="C8" s="27" t="n">
        <f aca="false">Benchmark!B6*B7*B8</f>
        <v>3804</v>
      </c>
      <c r="D8" s="15" t="s">
        <v>98</v>
      </c>
    </row>
    <row r="10" customFormat="false" ht="15" hidden="false" customHeight="false" outlineLevel="0" collapsed="false">
      <c r="A10" s="25" t="s">
        <v>99</v>
      </c>
      <c r="C10" s="27" t="n">
        <f aca="false">C5+C6+C8</f>
        <v>46669</v>
      </c>
    </row>
    <row r="11" customFormat="false" ht="15" hidden="false" customHeight="false" outlineLevel="0" collapsed="false">
      <c r="A11" s="15" t="s">
        <v>100</v>
      </c>
      <c r="C11" s="27" t="n">
        <f aca="false">Benchmark!B12</f>
        <v>21500</v>
      </c>
    </row>
    <row r="12" customFormat="false" ht="15" hidden="false" customHeight="false" outlineLevel="0" collapsed="false">
      <c r="A12" s="25" t="s">
        <v>101</v>
      </c>
      <c r="C12" s="27" t="n">
        <f aca="false">C11+C10</f>
        <v>68169</v>
      </c>
    </row>
    <row r="13" customFormat="false" ht="15" hidden="false" customHeight="false" outlineLevel="0" collapsed="false">
      <c r="A13" s="25" t="s">
        <v>102</v>
      </c>
      <c r="C13" s="28" t="n">
        <f aca="false">C12/C11-1</f>
        <v>2.1706511627907</v>
      </c>
    </row>
    <row r="14" customFormat="false" ht="15" hidden="false" customHeight="false" outlineLevel="0" collapsed="false">
      <c r="A14" s="15" t="s">
        <v>103</v>
      </c>
      <c r="C14" s="17" t="n">
        <f aca="false">C11/Benchmark!B5</f>
        <v>0.0253179463024023</v>
      </c>
    </row>
    <row r="15" customFormat="false" ht="15" hidden="false" customHeight="false" outlineLevel="0" collapsed="false">
      <c r="A15" s="15" t="s">
        <v>104</v>
      </c>
      <c r="C15" s="17" t="n">
        <f aca="false">C12/Benchmark!B5</f>
        <v>0.0802743758831842</v>
      </c>
    </row>
    <row r="17" customFormat="false" ht="15" hidden="false" customHeight="false" outlineLevel="0" collapsed="false">
      <c r="A17" s="13" t="s">
        <v>105</v>
      </c>
    </row>
    <row r="18" customFormat="false" ht="15" hidden="false" customHeight="false" outlineLevel="0" collapsed="false">
      <c r="A18" s="15" t="s">
        <v>106</v>
      </c>
      <c r="B18" s="29" t="n">
        <v>0.35</v>
      </c>
    </row>
    <row r="19" customFormat="false" ht="15" hidden="false" customHeight="false" outlineLevel="0" collapsed="false">
      <c r="A19" s="15" t="s">
        <v>107</v>
      </c>
      <c r="C19" s="27" t="n">
        <f aca="false">Benchmark!B12*B18</f>
        <v>7525</v>
      </c>
    </row>
    <row r="20" customFormat="false" ht="15" hidden="false" customHeight="false" outlineLevel="0" collapsed="false">
      <c r="A20" s="15" t="s">
        <v>108</v>
      </c>
      <c r="C20" s="30" t="n">
        <f aca="false">C19/Benchmark!B5</f>
        <v>0.00886128120584079</v>
      </c>
    </row>
    <row r="21" customFormat="false" ht="15" hidden="false" customHeight="false" outlineLevel="0" collapsed="false">
      <c r="A21" s="15" t="s">
        <v>109</v>
      </c>
      <c r="C21" s="17" t="n">
        <f aca="false">C19/Benchmark!B7</f>
        <v>0.0375874125874126</v>
      </c>
    </row>
    <row r="22" customFormat="false" ht="15" hidden="false" customHeight="false" outlineLevel="0" collapsed="false">
      <c r="A22" s="15" t="s">
        <v>110</v>
      </c>
      <c r="C22" s="17" t="n">
        <f aca="false">C19/Benchmark!B6</f>
        <v>0.0197818086225026</v>
      </c>
    </row>
    <row r="23" customFormat="false" ht="15" hidden="false" customHeight="false" outlineLevel="0" collapsed="false">
      <c r="A23" s="15" t="s">
        <v>111</v>
      </c>
      <c r="C23" s="27" t="n">
        <f aca="false">C19/(Benchmark!B12/Benchmark!B5)</f>
        <v>297220</v>
      </c>
    </row>
    <row r="25" customFormat="false" ht="15" hidden="false" customHeight="false" outlineLevel="0" collapsed="false">
      <c r="A25" s="22" t="s">
        <v>112</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24"/>
    <col collapsed="false" customWidth="true" hidden="false" outlineLevel="0" max="3" min="3" style="0" width="22"/>
    <col collapsed="false" customWidth="true" hidden="false" outlineLevel="0" max="4" min="4" style="0" width="28"/>
  </cols>
  <sheetData>
    <row r="1" customFormat="false" ht="30" hidden="false" customHeight="true" outlineLevel="0" collapsed="false">
      <c r="A1" s="1" t="s">
        <v>113</v>
      </c>
      <c r="B1" s="1"/>
      <c r="C1" s="1"/>
      <c r="D1" s="1"/>
      <c r="E1" s="1"/>
    </row>
    <row r="2" customFormat="false" ht="15" hidden="false" customHeight="false" outlineLevel="0" collapsed="false">
      <c r="A2" s="6" t="s">
        <v>114</v>
      </c>
    </row>
    <row r="4" customFormat="false" ht="15" hidden="false" customHeight="false" outlineLevel="0" collapsed="false">
      <c r="A4" s="19" t="s">
        <v>63</v>
      </c>
      <c r="B4" s="19" t="s">
        <v>115</v>
      </c>
      <c r="C4" s="19" t="s">
        <v>116</v>
      </c>
      <c r="D4" s="19" t="s">
        <v>117</v>
      </c>
    </row>
    <row r="5" customFormat="false" ht="15" hidden="false" customHeight="false" outlineLevel="0" collapsed="false">
      <c r="A5" s="15" t="s">
        <v>74</v>
      </c>
      <c r="B5" s="31" t="n">
        <v>16.78</v>
      </c>
      <c r="C5" s="15"/>
      <c r="D5" s="32" t="n">
        <f aca="false">B5/$B$5-1</f>
        <v>0</v>
      </c>
    </row>
    <row r="6" customFormat="false" ht="15" hidden="false" customHeight="false" outlineLevel="0" collapsed="false">
      <c r="A6" s="15" t="s">
        <v>75</v>
      </c>
      <c r="B6" s="31" t="n">
        <v>17.1</v>
      </c>
      <c r="C6" s="32" t="n">
        <f aca="false">B6/B5-1</f>
        <v>0.0190703218116806</v>
      </c>
      <c r="D6" s="32" t="n">
        <f aca="false">B6/$B$5-1</f>
        <v>0.0190703218116806</v>
      </c>
    </row>
    <row r="7" customFormat="false" ht="15" hidden="false" customHeight="false" outlineLevel="0" collapsed="false">
      <c r="A7" s="15" t="s">
        <v>76</v>
      </c>
      <c r="B7" s="31" t="n">
        <v>18.03</v>
      </c>
      <c r="C7" s="32" t="n">
        <f aca="false">B7/B6-1</f>
        <v>0.0543859649122807</v>
      </c>
      <c r="D7" s="32" t="n">
        <f aca="false">B7/$B$5-1</f>
        <v>0.0744934445768772</v>
      </c>
    </row>
    <row r="8" customFormat="false" ht="15" hidden="false" customHeight="false" outlineLevel="0" collapsed="false">
      <c r="A8" s="15" t="s">
        <v>77</v>
      </c>
      <c r="B8" s="31" t="n">
        <v>18.62</v>
      </c>
      <c r="C8" s="32" t="n">
        <f aca="false">B8/B7-1</f>
        <v>0.0327232390460344</v>
      </c>
      <c r="D8" s="32" t="n">
        <f aca="false">B8/$B$5-1</f>
        <v>0.109654350417163</v>
      </c>
    </row>
    <row r="9" customFormat="false" ht="15" hidden="false" customHeight="false" outlineLevel="0" collapsed="false">
      <c r="A9" s="15" t="s">
        <v>78</v>
      </c>
      <c r="B9" s="31" t="n">
        <v>19.48</v>
      </c>
      <c r="C9" s="32" t="n">
        <f aca="false">B9/B8-1</f>
        <v>0.0461868958109559</v>
      </c>
      <c r="D9" s="32" t="n">
        <f aca="false">B9/$B$5-1</f>
        <v>0.160905840286055</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90"/>
    <col collapsed="false" customWidth="true" hidden="false" outlineLevel="0" max="3" min="3" style="0" width="80"/>
  </cols>
  <sheetData>
    <row r="1" customFormat="false" ht="30" hidden="false" customHeight="true" outlineLevel="0" collapsed="false">
      <c r="A1" s="1" t="s">
        <v>118</v>
      </c>
      <c r="B1" s="1"/>
      <c r="C1" s="1"/>
    </row>
    <row r="3" customFormat="false" ht="15" hidden="false" customHeight="false" outlineLevel="0" collapsed="false">
      <c r="A3" s="33" t="s">
        <v>119</v>
      </c>
      <c r="B3" s="33" t="s">
        <v>22</v>
      </c>
      <c r="C3" s="33" t="s">
        <v>120</v>
      </c>
    </row>
    <row r="4" customFormat="false" ht="15" hidden="false" customHeight="false" outlineLevel="0" collapsed="false">
      <c r="A4" s="15" t="s">
        <v>121</v>
      </c>
      <c r="B4" s="15" t="s">
        <v>122</v>
      </c>
      <c r="C4" s="15" t="s">
        <v>123</v>
      </c>
    </row>
    <row r="5" customFormat="false" ht="15" hidden="false" customHeight="false" outlineLevel="0" collapsed="false">
      <c r="A5" s="15" t="s">
        <v>124</v>
      </c>
      <c r="B5" s="15" t="s">
        <v>125</v>
      </c>
      <c r="C5" s="15" t="s">
        <v>126</v>
      </c>
    </row>
    <row r="6" customFormat="false" ht="15" hidden="false" customHeight="false" outlineLevel="0" collapsed="false">
      <c r="A6" s="15" t="s">
        <v>127</v>
      </c>
      <c r="B6" s="15" t="s">
        <v>128</v>
      </c>
      <c r="C6" s="15" t="s">
        <v>129</v>
      </c>
    </row>
    <row r="7" customFormat="false" ht="15" hidden="false" customHeight="false" outlineLevel="0" collapsed="false">
      <c r="A7" s="15" t="s">
        <v>130</v>
      </c>
      <c r="B7" s="15" t="s">
        <v>131</v>
      </c>
      <c r="C7" s="15" t="s">
        <v>132</v>
      </c>
    </row>
    <row r="8" customFormat="false" ht="15" hidden="false" customHeight="false" outlineLevel="0" collapsed="false">
      <c r="A8" s="15" t="s">
        <v>133</v>
      </c>
      <c r="B8" s="15" t="s">
        <v>134</v>
      </c>
      <c r="C8" s="15" t="s">
        <v>135</v>
      </c>
    </row>
    <row r="9" customFormat="false" ht="15" hidden="false" customHeight="false" outlineLevel="0" collapsed="false">
      <c r="A9" s="15" t="s">
        <v>136</v>
      </c>
      <c r="B9" s="15" t="s">
        <v>137</v>
      </c>
      <c r="C9" s="15" t="s">
        <v>138</v>
      </c>
    </row>
    <row r="10" customFormat="false" ht="15" hidden="false" customHeight="false" outlineLevel="0" collapsed="false">
      <c r="A10" s="15" t="s">
        <v>139</v>
      </c>
      <c r="B10" s="15" t="s">
        <v>140</v>
      </c>
      <c r="C10" s="15" t="s">
        <v>141</v>
      </c>
    </row>
    <row r="11" customFormat="false" ht="15" hidden="false" customHeight="false" outlineLevel="0" collapsed="false">
      <c r="A11" s="15" t="s">
        <v>142</v>
      </c>
      <c r="B11" s="15" t="s">
        <v>143</v>
      </c>
      <c r="C11" s="15" t="s">
        <v>144</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2026-10-01T23:27:20Z</dcterms:created>
  <dc:creator>openpyxl</dc:creator>
  <dc:description/>
  <dc:language>en-US</dc:language>
  <cp:lastModifiedBy/>
  <dcterms:modified xsi:type="dcterms:W3CDTF">2026-10-01T19:27:23Z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